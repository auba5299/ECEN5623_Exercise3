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df91cf1c061735/Documents/CU Boulder/ECEN 5623/Projects and Excrsizes/Exercise 3/"/>
    </mc:Choice>
  </mc:AlternateContent>
  <xr:revisionPtr revIDLastSave="36" documentId="8_{7D120CA1-D8A9-4FAF-A864-66F8CE5FF03F}" xr6:coauthVersionLast="47" xr6:coauthVersionMax="47" xr10:uidLastSave="{EBFFC591-96AC-4166-819D-FBCBA5E4870F}"/>
  <bookViews>
    <workbookView xWindow="-105" yWindow="0" windowWidth="26010" windowHeight="20985" xr2:uid="{FA5DEF44-490D-4E9A-BDDD-D5CE5303E81E}"/>
  </bookViews>
  <sheets>
    <sheet name="ex3_part2_tabulated" sheetId="1" r:id="rId1"/>
  </sheets>
  <calcPr calcId="0"/>
</workbook>
</file>

<file path=xl/calcChain.xml><?xml version="1.0" encoding="utf-8"?>
<calcChain xmlns="http://schemas.openxmlformats.org/spreadsheetml/2006/main">
  <c r="B23" i="1" l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O22" i="1"/>
  <c r="O21" i="1"/>
  <c r="D21" i="1"/>
  <c r="E21" i="1"/>
  <c r="F21" i="1"/>
  <c r="G21" i="1"/>
  <c r="H21" i="1"/>
  <c r="I21" i="1"/>
  <c r="J21" i="1"/>
  <c r="K21" i="1"/>
  <c r="L21" i="1"/>
  <c r="M21" i="1"/>
  <c r="N21" i="1"/>
  <c r="P21" i="1"/>
  <c r="Q21" i="1"/>
  <c r="R21" i="1"/>
  <c r="S21" i="1"/>
  <c r="D22" i="1"/>
  <c r="E22" i="1"/>
  <c r="F22" i="1"/>
  <c r="G22" i="1"/>
  <c r="H22" i="1"/>
  <c r="I22" i="1"/>
  <c r="J22" i="1"/>
  <c r="K22" i="1"/>
  <c r="L22" i="1"/>
  <c r="M22" i="1"/>
  <c r="N22" i="1"/>
  <c r="P22" i="1"/>
  <c r="Q22" i="1"/>
  <c r="R22" i="1"/>
  <c r="S22" i="1"/>
  <c r="C22" i="1"/>
  <c r="C21" i="1"/>
  <c r="B22" i="1"/>
  <c r="B21" i="1"/>
</calcChain>
</file>

<file path=xl/sharedStrings.xml><?xml version="1.0" encoding="utf-8"?>
<sst xmlns="http://schemas.openxmlformats.org/spreadsheetml/2006/main" count="42" uniqueCount="36">
  <si>
    <t>Field (Equation)</t>
  </si>
  <si>
    <t>LAT = 0.01*X</t>
  </si>
  <si>
    <t>LONG = 0.2*X</t>
  </si>
  <si>
    <t>ALT = 0.25*X</t>
  </si>
  <si>
    <t>ROLL = sin(0.05*X)</t>
  </si>
  <si>
    <t>PITCH = cos(0.05*X^2)</t>
  </si>
  <si>
    <t>YAW = cos(0.05*X)</t>
  </si>
  <si>
    <t>write_timestamp (s)</t>
  </si>
  <si>
    <t>seq_count (X)</t>
  </si>
  <si>
    <t>LAT</t>
  </si>
  <si>
    <t>LONG</t>
  </si>
  <si>
    <t>ALT</t>
  </si>
  <si>
    <t>ROLL</t>
  </si>
  <si>
    <t>PITCH</t>
  </si>
  <si>
    <t>YAW</t>
  </si>
  <si>
    <t>Read 1</t>
  </si>
  <si>
    <t>Read 2</t>
  </si>
  <si>
    <t>Read 3</t>
  </si>
  <si>
    <t>Read 4</t>
  </si>
  <si>
    <t>Read 5</t>
  </si>
  <si>
    <t>Read 6</t>
  </si>
  <si>
    <t>Read 7</t>
  </si>
  <si>
    <t>Read 8</t>
  </si>
  <si>
    <t>Read 9</t>
  </si>
  <si>
    <t>Read 10</t>
  </si>
  <si>
    <t>Read 11</t>
  </si>
  <si>
    <t>Read 12</t>
  </si>
  <si>
    <t>Read 13</t>
  </si>
  <si>
    <t>Read 14</t>
  </si>
  <si>
    <t>Read 15</t>
  </si>
  <si>
    <t>Read 16</t>
  </si>
  <si>
    <t>Read 17</t>
  </si>
  <si>
    <t>Read 18</t>
  </si>
  <si>
    <t>MY DATA</t>
  </si>
  <si>
    <t>TRUE DATA (AI Calculated to save time using functions shown in MY DATA)</t>
  </si>
  <si>
    <t>ERROR (MY_DATA - TRUE_DATA)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</si>
</sst>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35" borderId="0" xfId="0" applyFont="1" applyFill="1"/>
    <xf numFmtId="0" fontId="0" fillId="36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C540-1F1D-4B7B-81A1-A5C6FB83851B}">
  <dimension ref="A1:S26"/>
  <sheetViews>
    <sheetView tabSelected="1" topLeftCell="A4" zoomScale="115" zoomScaleNormal="115" workbookViewId="0">
      <selection activeCell="E33" sqref="E33"/>
    </sheetView>
  </sheetViews>
  <sheetFormatPr defaultRowHeight="15" x14ac:dyDescent="0.25"/>
  <cols>
    <col min="1" max="1" width="20.5703125" customWidth="1"/>
  </cols>
  <sheetData>
    <row r="1" spans="1:19" x14ac:dyDescent="0.25">
      <c r="A1" s="3" t="s">
        <v>33</v>
      </c>
    </row>
    <row r="2" spans="1:19" x14ac:dyDescent="0.25">
      <c r="A2" s="4" t="s">
        <v>0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  <c r="R2" s="4" t="s">
        <v>31</v>
      </c>
      <c r="S2" s="4" t="s">
        <v>32</v>
      </c>
    </row>
    <row r="3" spans="1:19" x14ac:dyDescent="0.25">
      <c r="A3" s="4" t="s">
        <v>7</v>
      </c>
      <c r="B3" s="4">
        <v>10.000272377</v>
      </c>
      <c r="C3" s="4">
        <v>20.000270858</v>
      </c>
      <c r="D3" s="4">
        <v>30.000269092</v>
      </c>
      <c r="E3" s="4">
        <v>40.000271245</v>
      </c>
      <c r="F3" s="4">
        <v>50.000276900999999</v>
      </c>
      <c r="G3" s="4">
        <v>60.000270331000003</v>
      </c>
      <c r="H3" s="4">
        <v>70.000274293000004</v>
      </c>
      <c r="I3" s="4">
        <v>80.000270611999994</v>
      </c>
      <c r="J3" s="4">
        <v>90.000271733999995</v>
      </c>
      <c r="K3" s="4">
        <v>100.00026958799999</v>
      </c>
      <c r="L3" s="4">
        <v>110.000271619</v>
      </c>
      <c r="M3" s="4">
        <v>120.000265224</v>
      </c>
      <c r="N3" s="4">
        <v>130.00027029899999</v>
      </c>
      <c r="O3" s="4">
        <v>140.00027444700001</v>
      </c>
      <c r="P3" s="4">
        <v>150.00027824099999</v>
      </c>
      <c r="Q3" s="4">
        <v>160.00026996299999</v>
      </c>
      <c r="R3" s="4">
        <v>170.00027862100001</v>
      </c>
      <c r="S3" s="4">
        <v>180.000269686</v>
      </c>
    </row>
    <row r="4" spans="1:19" x14ac:dyDescent="0.25">
      <c r="A4" s="5" t="s">
        <v>8</v>
      </c>
      <c r="B4" s="4">
        <v>10</v>
      </c>
      <c r="C4" s="4">
        <v>20</v>
      </c>
      <c r="D4" s="4">
        <v>30</v>
      </c>
      <c r="E4" s="4">
        <v>40</v>
      </c>
      <c r="F4" s="4">
        <v>50</v>
      </c>
      <c r="G4" s="4">
        <v>60</v>
      </c>
      <c r="H4" s="4">
        <v>70</v>
      </c>
      <c r="I4" s="4">
        <v>80</v>
      </c>
      <c r="J4" s="4">
        <v>90</v>
      </c>
      <c r="K4" s="4">
        <v>100</v>
      </c>
      <c r="L4" s="4">
        <v>110</v>
      </c>
      <c r="M4" s="4">
        <v>120</v>
      </c>
      <c r="N4" s="4">
        <v>130</v>
      </c>
      <c r="O4" s="4">
        <v>140</v>
      </c>
      <c r="P4" s="4">
        <v>150</v>
      </c>
      <c r="Q4" s="4">
        <v>160</v>
      </c>
      <c r="R4" s="4">
        <v>170</v>
      </c>
      <c r="S4" s="4">
        <v>180</v>
      </c>
    </row>
    <row r="5" spans="1:19" x14ac:dyDescent="0.25">
      <c r="A5" s="3" t="s">
        <v>1</v>
      </c>
      <c r="B5" s="3">
        <v>0.1</v>
      </c>
      <c r="C5" s="3">
        <v>0.2</v>
      </c>
      <c r="D5" s="3">
        <v>0.3</v>
      </c>
      <c r="E5" s="3">
        <v>0.4</v>
      </c>
      <c r="F5" s="3">
        <v>0.5</v>
      </c>
      <c r="G5" s="3">
        <v>0.6</v>
      </c>
      <c r="H5" s="3">
        <v>0.7</v>
      </c>
      <c r="I5" s="3">
        <v>0.8</v>
      </c>
      <c r="J5" s="3">
        <v>0.9</v>
      </c>
      <c r="K5" s="3">
        <v>1</v>
      </c>
      <c r="L5" s="3">
        <v>1.1000000000000001</v>
      </c>
      <c r="M5" s="3">
        <v>1.2</v>
      </c>
      <c r="N5" s="3">
        <v>1.3</v>
      </c>
      <c r="O5" s="3">
        <v>1.4</v>
      </c>
      <c r="P5" s="3">
        <v>1.5</v>
      </c>
      <c r="Q5" s="3">
        <v>1.6</v>
      </c>
      <c r="R5" s="3">
        <v>1.7</v>
      </c>
      <c r="S5" s="3">
        <v>1.8</v>
      </c>
    </row>
    <row r="6" spans="1:19" x14ac:dyDescent="0.25">
      <c r="A6" s="3" t="s">
        <v>2</v>
      </c>
      <c r="B6" s="3">
        <v>2</v>
      </c>
      <c r="C6" s="3">
        <v>4</v>
      </c>
      <c r="D6" s="3">
        <v>6</v>
      </c>
      <c r="E6" s="3">
        <v>8</v>
      </c>
      <c r="F6" s="3">
        <v>10</v>
      </c>
      <c r="G6" s="3">
        <v>12</v>
      </c>
      <c r="H6" s="3">
        <v>14</v>
      </c>
      <c r="I6" s="3">
        <v>16</v>
      </c>
      <c r="J6" s="3">
        <v>18</v>
      </c>
      <c r="K6" s="3">
        <v>20</v>
      </c>
      <c r="L6" s="3">
        <v>22</v>
      </c>
      <c r="M6" s="3">
        <v>24</v>
      </c>
      <c r="N6" s="3">
        <v>26</v>
      </c>
      <c r="O6" s="3">
        <v>28</v>
      </c>
      <c r="P6" s="3">
        <v>30</v>
      </c>
      <c r="Q6" s="3">
        <v>32</v>
      </c>
      <c r="R6" s="3">
        <v>34</v>
      </c>
      <c r="S6" s="3">
        <v>36</v>
      </c>
    </row>
    <row r="7" spans="1:19" x14ac:dyDescent="0.25">
      <c r="A7" s="3" t="s">
        <v>3</v>
      </c>
      <c r="B7" s="3">
        <v>2.5</v>
      </c>
      <c r="C7" s="3">
        <v>5</v>
      </c>
      <c r="D7" s="3">
        <v>7.5</v>
      </c>
      <c r="E7" s="3">
        <v>10</v>
      </c>
      <c r="F7" s="3">
        <v>12.5</v>
      </c>
      <c r="G7" s="3">
        <v>15</v>
      </c>
      <c r="H7" s="3">
        <v>17.5</v>
      </c>
      <c r="I7" s="3">
        <v>20</v>
      </c>
      <c r="J7" s="3">
        <v>22.5</v>
      </c>
      <c r="K7" s="3">
        <v>25</v>
      </c>
      <c r="L7" s="3">
        <v>27.5</v>
      </c>
      <c r="M7" s="3">
        <v>30</v>
      </c>
      <c r="N7" s="3">
        <v>32.5</v>
      </c>
      <c r="O7" s="3">
        <v>35</v>
      </c>
      <c r="P7" s="3">
        <v>37.5</v>
      </c>
      <c r="Q7" s="3">
        <v>40</v>
      </c>
      <c r="R7" s="3">
        <v>42.5</v>
      </c>
      <c r="S7" s="3">
        <v>45</v>
      </c>
    </row>
    <row r="8" spans="1:19" x14ac:dyDescent="0.25">
      <c r="A8" s="3" t="s">
        <v>4</v>
      </c>
      <c r="B8" s="3">
        <v>0.47942600000000002</v>
      </c>
      <c r="C8" s="3">
        <v>0.84147099999999997</v>
      </c>
      <c r="D8" s="3">
        <v>0.99749500000000002</v>
      </c>
      <c r="E8" s="3">
        <v>0.90929700000000002</v>
      </c>
      <c r="F8" s="3">
        <v>0.598472</v>
      </c>
      <c r="G8" s="3">
        <v>0.14112</v>
      </c>
      <c r="H8" s="3">
        <v>-0.35078300000000001</v>
      </c>
      <c r="I8" s="3">
        <v>-0.75680199999999997</v>
      </c>
      <c r="J8" s="3">
        <v>-0.97753000000000001</v>
      </c>
      <c r="K8" s="3">
        <v>-0.958924</v>
      </c>
      <c r="L8" s="3">
        <v>-0.70553999999999994</v>
      </c>
      <c r="M8" s="3">
        <v>-0.27941500000000002</v>
      </c>
      <c r="N8" s="3">
        <v>0.21512000000000001</v>
      </c>
      <c r="O8" s="3">
        <v>0.65698699999999999</v>
      </c>
      <c r="P8" s="3">
        <v>0.93799999999999994</v>
      </c>
      <c r="Q8" s="3">
        <v>0.98935799999999996</v>
      </c>
      <c r="R8" s="3">
        <v>0.79848699999999995</v>
      </c>
      <c r="S8" s="3">
        <v>0.41211799999999998</v>
      </c>
    </row>
    <row r="9" spans="1:19" x14ac:dyDescent="0.25">
      <c r="A9" s="3" t="s">
        <v>5</v>
      </c>
      <c r="B9" s="3">
        <v>0.28366200000000003</v>
      </c>
      <c r="C9" s="3">
        <v>0.408082</v>
      </c>
      <c r="D9" s="3">
        <v>0.52532199999999996</v>
      </c>
      <c r="E9" s="3">
        <v>-0.110387</v>
      </c>
      <c r="F9" s="3">
        <v>0.78771500000000005</v>
      </c>
      <c r="G9" s="3">
        <v>-0.59845999999999999</v>
      </c>
      <c r="H9" s="3">
        <v>0.99902199999999997</v>
      </c>
      <c r="I9" s="3">
        <v>0.90370499999999998</v>
      </c>
      <c r="J9" s="3">
        <v>-0.964974</v>
      </c>
      <c r="K9" s="3">
        <v>-0.883849</v>
      </c>
      <c r="L9" s="3">
        <v>-0.24101800000000001</v>
      </c>
      <c r="M9" s="3">
        <v>-0.83903899999999998</v>
      </c>
      <c r="N9" s="3">
        <v>-0.99609300000000001</v>
      </c>
      <c r="O9" s="3">
        <v>0.98439299999999996</v>
      </c>
      <c r="P9" s="3">
        <v>0.95238500000000004</v>
      </c>
      <c r="Q9" s="3">
        <v>-0.19769500000000001</v>
      </c>
      <c r="R9" s="3">
        <v>0.99121899999999996</v>
      </c>
      <c r="S9" s="3">
        <v>0.48729299999999998</v>
      </c>
    </row>
    <row r="10" spans="1:19" x14ac:dyDescent="0.25">
      <c r="A10" s="3" t="s">
        <v>6</v>
      </c>
      <c r="B10" s="3">
        <v>0.877583</v>
      </c>
      <c r="C10" s="3">
        <v>0.54030199999999995</v>
      </c>
      <c r="D10" s="3">
        <v>7.0736999999999994E-2</v>
      </c>
      <c r="E10" s="3">
        <v>-0.41614699999999999</v>
      </c>
      <c r="F10" s="3">
        <v>-0.80114399999999997</v>
      </c>
      <c r="G10" s="3">
        <v>-0.98999199999999998</v>
      </c>
      <c r="H10" s="3">
        <v>-0.93645699999999998</v>
      </c>
      <c r="I10" s="3">
        <v>-0.653644</v>
      </c>
      <c r="J10" s="3">
        <v>-0.21079600000000001</v>
      </c>
      <c r="K10" s="3">
        <v>0.28366200000000003</v>
      </c>
      <c r="L10" s="3">
        <v>0.70867000000000002</v>
      </c>
      <c r="M10" s="3">
        <v>0.96016999999999997</v>
      </c>
      <c r="N10" s="3">
        <v>0.97658800000000001</v>
      </c>
      <c r="O10" s="3">
        <v>0.75390199999999996</v>
      </c>
      <c r="P10" s="3">
        <v>0.34663500000000003</v>
      </c>
      <c r="Q10" s="3">
        <v>-0.14549999999999999</v>
      </c>
      <c r="R10" s="3">
        <v>-0.60201199999999999</v>
      </c>
      <c r="S10" s="3">
        <v>-0.91113</v>
      </c>
    </row>
    <row r="11" spans="1:19" x14ac:dyDescent="0.25">
      <c r="A11" s="1"/>
    </row>
    <row r="12" spans="1:19" x14ac:dyDescent="0.25">
      <c r="A12" s="2" t="s">
        <v>34</v>
      </c>
      <c r="B12" s="2"/>
      <c r="C12" s="2"/>
      <c r="D12" s="2"/>
      <c r="E12" s="2"/>
      <c r="F12" s="2"/>
    </row>
    <row r="13" spans="1:19" x14ac:dyDescent="0.25">
      <c r="A13" s="2" t="s">
        <v>9</v>
      </c>
      <c r="B13" s="2">
        <v>0.1</v>
      </c>
      <c r="C13" s="2">
        <v>0.2</v>
      </c>
      <c r="D13" s="2">
        <v>0.3</v>
      </c>
      <c r="E13" s="2">
        <v>0.4</v>
      </c>
      <c r="F13" s="2">
        <v>0.5</v>
      </c>
      <c r="G13" s="2">
        <v>0.6</v>
      </c>
      <c r="H13" s="2">
        <v>0.7</v>
      </c>
      <c r="I13" s="2">
        <v>0.8</v>
      </c>
      <c r="J13" s="2">
        <v>0.9</v>
      </c>
      <c r="K13" s="2">
        <v>1</v>
      </c>
      <c r="L13" s="2">
        <v>1.1000000000000001</v>
      </c>
      <c r="M13" s="2">
        <v>1.2</v>
      </c>
      <c r="N13" s="2">
        <v>1.3</v>
      </c>
      <c r="O13" s="2">
        <v>1.4</v>
      </c>
      <c r="P13" s="2">
        <v>1.5</v>
      </c>
      <c r="Q13" s="2">
        <v>1.6</v>
      </c>
      <c r="R13" s="2">
        <v>1.7</v>
      </c>
      <c r="S13" s="2">
        <v>1.8</v>
      </c>
    </row>
    <row r="14" spans="1:19" x14ac:dyDescent="0.25">
      <c r="A14" s="2" t="s">
        <v>10</v>
      </c>
      <c r="B14" s="2">
        <v>2</v>
      </c>
      <c r="C14" s="2">
        <v>4</v>
      </c>
      <c r="D14" s="2">
        <v>6</v>
      </c>
      <c r="E14" s="2">
        <v>8</v>
      </c>
      <c r="F14" s="2">
        <v>10</v>
      </c>
      <c r="G14" s="2">
        <v>12</v>
      </c>
      <c r="H14" s="2">
        <v>14</v>
      </c>
      <c r="I14" s="2">
        <v>16</v>
      </c>
      <c r="J14" s="2">
        <v>18</v>
      </c>
      <c r="K14" s="2">
        <v>20</v>
      </c>
      <c r="L14" s="2">
        <v>22</v>
      </c>
      <c r="M14" s="2">
        <v>24</v>
      </c>
      <c r="N14" s="2">
        <v>26</v>
      </c>
      <c r="O14" s="2">
        <v>28</v>
      </c>
      <c r="P14" s="2">
        <v>30</v>
      </c>
      <c r="Q14" s="2">
        <v>32</v>
      </c>
      <c r="R14" s="2">
        <v>34</v>
      </c>
      <c r="S14" s="2">
        <v>36</v>
      </c>
    </row>
    <row r="15" spans="1:19" x14ac:dyDescent="0.25">
      <c r="A15" s="2" t="s">
        <v>11</v>
      </c>
      <c r="B15" s="2">
        <v>2.5</v>
      </c>
      <c r="C15" s="2">
        <v>5</v>
      </c>
      <c r="D15" s="2">
        <v>7.5</v>
      </c>
      <c r="E15" s="2">
        <v>10</v>
      </c>
      <c r="F15" s="2">
        <v>12.5</v>
      </c>
      <c r="G15" s="2">
        <v>15</v>
      </c>
      <c r="H15" s="2">
        <v>17.5</v>
      </c>
      <c r="I15" s="2">
        <v>20</v>
      </c>
      <c r="J15" s="2">
        <v>22.5</v>
      </c>
      <c r="K15" s="2">
        <v>25</v>
      </c>
      <c r="L15" s="2">
        <v>27.5</v>
      </c>
      <c r="M15" s="2">
        <v>30</v>
      </c>
      <c r="N15" s="2">
        <v>32.5</v>
      </c>
      <c r="O15" s="2">
        <v>35</v>
      </c>
      <c r="P15" s="2">
        <v>37.5</v>
      </c>
      <c r="Q15" s="2">
        <v>40</v>
      </c>
      <c r="R15" s="2">
        <v>42.5</v>
      </c>
      <c r="S15" s="2">
        <v>45</v>
      </c>
    </row>
    <row r="16" spans="1:19" x14ac:dyDescent="0.25">
      <c r="A16" s="2" t="s">
        <v>12</v>
      </c>
      <c r="B16" s="2">
        <v>0.47942600000000002</v>
      </c>
      <c r="C16" s="2">
        <v>0.84147099999999997</v>
      </c>
      <c r="D16" s="2">
        <v>0.99749500000000002</v>
      </c>
      <c r="E16" s="2">
        <v>0.90929700000000002</v>
      </c>
      <c r="F16" s="2">
        <v>0.598472</v>
      </c>
      <c r="G16" s="2">
        <v>0.14112</v>
      </c>
      <c r="H16" s="2">
        <v>-0.35078300000000001</v>
      </c>
      <c r="I16" s="2">
        <v>-0.75680199999999997</v>
      </c>
      <c r="J16" s="2">
        <v>-0.97753000000000001</v>
      </c>
      <c r="K16" s="2">
        <v>-0.958924</v>
      </c>
      <c r="L16" s="2">
        <v>-0.70553999999999994</v>
      </c>
      <c r="M16" s="2">
        <v>-0.27941500000000002</v>
      </c>
      <c r="N16" s="2">
        <v>0.21512000000000001</v>
      </c>
      <c r="O16" s="2">
        <v>0.65698699999999999</v>
      </c>
      <c r="P16" s="2">
        <v>0.93799999999999994</v>
      </c>
      <c r="Q16" s="2">
        <v>0.98935799999999996</v>
      </c>
      <c r="R16" s="2">
        <v>0.79848699999999995</v>
      </c>
      <c r="S16" s="2">
        <v>0.41211799999999998</v>
      </c>
    </row>
    <row r="17" spans="1:19" x14ac:dyDescent="0.25">
      <c r="A17" s="2" t="s">
        <v>13</v>
      </c>
      <c r="B17" s="2">
        <v>0.28366200000000003</v>
      </c>
      <c r="C17" s="2">
        <v>0.408082</v>
      </c>
      <c r="D17" s="2">
        <v>0.52532199999999996</v>
      </c>
      <c r="E17" s="2">
        <v>-0.110387</v>
      </c>
      <c r="F17" s="2">
        <v>0.78771500000000005</v>
      </c>
      <c r="G17" s="2">
        <v>-0.59845999999999999</v>
      </c>
      <c r="H17" s="2">
        <v>0.99902199999999997</v>
      </c>
      <c r="I17" s="2">
        <v>0.90370499999999998</v>
      </c>
      <c r="J17" s="2">
        <v>-0.964974</v>
      </c>
      <c r="K17" s="2">
        <v>-0.883849</v>
      </c>
      <c r="L17" s="2">
        <v>-0.24101800000000001</v>
      </c>
      <c r="M17" s="2">
        <v>-0.83903899999999998</v>
      </c>
      <c r="N17" s="2">
        <v>-0.99609300000000001</v>
      </c>
      <c r="O17" s="2">
        <v>0.98439299999999996</v>
      </c>
      <c r="P17" s="2">
        <v>0.95238500000000004</v>
      </c>
      <c r="Q17" s="2">
        <v>-0.19769500000000001</v>
      </c>
      <c r="R17" s="2">
        <v>0.99121899999999996</v>
      </c>
      <c r="S17" s="2">
        <v>0.48729299999999998</v>
      </c>
    </row>
    <row r="18" spans="1:19" x14ac:dyDescent="0.25">
      <c r="A18" s="2" t="s">
        <v>14</v>
      </c>
      <c r="B18" s="2">
        <v>0.877583</v>
      </c>
      <c r="C18" s="2">
        <v>0.54030199999999995</v>
      </c>
      <c r="D18" s="2">
        <v>7.0736999999999994E-2</v>
      </c>
      <c r="E18" s="2">
        <v>-0.41614699999999999</v>
      </c>
      <c r="F18" s="2">
        <v>-0.80114399999999997</v>
      </c>
      <c r="G18" s="2">
        <v>-0.98999199999999998</v>
      </c>
      <c r="H18" s="2">
        <v>-0.93645699999999998</v>
      </c>
      <c r="I18" s="2">
        <v>-0.653644</v>
      </c>
      <c r="J18" s="2">
        <v>-0.21079600000000001</v>
      </c>
      <c r="K18" s="2">
        <v>0.28366200000000003</v>
      </c>
      <c r="L18" s="2">
        <v>0.70867000000000002</v>
      </c>
      <c r="M18" s="2">
        <v>0.96016999999999997</v>
      </c>
      <c r="N18" s="2">
        <v>0.97658800000000001</v>
      </c>
      <c r="O18" s="2">
        <v>0.75390199999999996</v>
      </c>
      <c r="P18" s="2">
        <v>0.34663500000000003</v>
      </c>
      <c r="Q18" s="2">
        <v>-0.14549999999999999</v>
      </c>
      <c r="R18" s="2">
        <v>-0.60201199999999999</v>
      </c>
      <c r="S18" s="2">
        <v>-0.91113</v>
      </c>
    </row>
    <row r="19" spans="1:19" s="7" customFormat="1" x14ac:dyDescent="0.25"/>
    <row r="20" spans="1:19" x14ac:dyDescent="0.25">
      <c r="A20" s="6" t="s">
        <v>35</v>
      </c>
      <c r="B20" s="6"/>
    </row>
    <row r="21" spans="1:19" x14ac:dyDescent="0.25">
      <c r="A21" s="6" t="s">
        <v>9</v>
      </c>
      <c r="B21" s="6">
        <f>B5-B13</f>
        <v>0</v>
      </c>
      <c r="C21" s="6">
        <f>C5-C13</f>
        <v>0</v>
      </c>
      <c r="D21" s="6">
        <f>D5-D13</f>
        <v>0</v>
      </c>
      <c r="E21" s="6">
        <f>E5-E13</f>
        <v>0</v>
      </c>
      <c r="F21" s="6">
        <f>F5-F13</f>
        <v>0</v>
      </c>
      <c r="G21" s="6">
        <f>G5-G13</f>
        <v>0</v>
      </c>
      <c r="H21" s="6">
        <f>H5-H13</f>
        <v>0</v>
      </c>
      <c r="I21" s="6">
        <f>I5-I13</f>
        <v>0</v>
      </c>
      <c r="J21" s="6">
        <f>J5-J13</f>
        <v>0</v>
      </c>
      <c r="K21" s="6">
        <f>K5-K13</f>
        <v>0</v>
      </c>
      <c r="L21" s="6">
        <f>L5-L13</f>
        <v>0</v>
      </c>
      <c r="M21" s="6">
        <f>M5-M13</f>
        <v>0</v>
      </c>
      <c r="N21" s="6">
        <f>N5-N13</f>
        <v>0</v>
      </c>
      <c r="O21" s="6">
        <f>O5-O13</f>
        <v>0</v>
      </c>
      <c r="P21" s="6">
        <f>P5-P13</f>
        <v>0</v>
      </c>
      <c r="Q21" s="6">
        <f>Q5-Q13</f>
        <v>0</v>
      </c>
      <c r="R21" s="6">
        <f>R5-R13</f>
        <v>0</v>
      </c>
      <c r="S21" s="6">
        <f>S5-S13</f>
        <v>0</v>
      </c>
    </row>
    <row r="22" spans="1:19" x14ac:dyDescent="0.25">
      <c r="A22" s="6" t="s">
        <v>10</v>
      </c>
      <c r="B22" s="6">
        <f>B6-B14</f>
        <v>0</v>
      </c>
      <c r="C22" s="6">
        <f>C6-C14</f>
        <v>0</v>
      </c>
      <c r="D22" s="6">
        <f>D6-D14</f>
        <v>0</v>
      </c>
      <c r="E22" s="6">
        <f>E6-E14</f>
        <v>0</v>
      </c>
      <c r="F22" s="6">
        <f>F6-F14</f>
        <v>0</v>
      </c>
      <c r="G22" s="6">
        <f>G6-G14</f>
        <v>0</v>
      </c>
      <c r="H22" s="6">
        <f>H6-H14</f>
        <v>0</v>
      </c>
      <c r="I22" s="6">
        <f>I6-I14</f>
        <v>0</v>
      </c>
      <c r="J22" s="6">
        <f>J6-J14</f>
        <v>0</v>
      </c>
      <c r="K22" s="6">
        <f>K6-K14</f>
        <v>0</v>
      </c>
      <c r="L22" s="6">
        <f>L6-L14</f>
        <v>0</v>
      </c>
      <c r="M22" s="6">
        <f>M6-M14</f>
        <v>0</v>
      </c>
      <c r="N22" s="6">
        <f>N6-N14</f>
        <v>0</v>
      </c>
      <c r="O22" s="6">
        <f>O6-O14</f>
        <v>0</v>
      </c>
      <c r="P22" s="6">
        <f>P6-P14</f>
        <v>0</v>
      </c>
      <c r="Q22" s="6">
        <f>Q6-Q14</f>
        <v>0</v>
      </c>
      <c r="R22" s="6">
        <f>R6-R14</f>
        <v>0</v>
      </c>
      <c r="S22" s="6">
        <f>S6-S14</f>
        <v>0</v>
      </c>
    </row>
    <row r="23" spans="1:19" x14ac:dyDescent="0.25">
      <c r="A23" s="6" t="s">
        <v>11</v>
      </c>
      <c r="B23" s="6">
        <f t="shared" ref="B23:S23" si="0">B7-B15</f>
        <v>0</v>
      </c>
      <c r="C23" s="6">
        <f t="shared" si="0"/>
        <v>0</v>
      </c>
      <c r="D23" s="6">
        <f t="shared" si="0"/>
        <v>0</v>
      </c>
      <c r="E23" s="6">
        <f t="shared" si="0"/>
        <v>0</v>
      </c>
      <c r="F23" s="6">
        <f t="shared" si="0"/>
        <v>0</v>
      </c>
      <c r="G23" s="6">
        <f t="shared" si="0"/>
        <v>0</v>
      </c>
      <c r="H23" s="6">
        <f t="shared" si="0"/>
        <v>0</v>
      </c>
      <c r="I23" s="6">
        <f t="shared" si="0"/>
        <v>0</v>
      </c>
      <c r="J23" s="6">
        <f t="shared" si="0"/>
        <v>0</v>
      </c>
      <c r="K23" s="6">
        <f t="shared" si="0"/>
        <v>0</v>
      </c>
      <c r="L23" s="6">
        <f t="shared" si="0"/>
        <v>0</v>
      </c>
      <c r="M23" s="6">
        <f t="shared" si="0"/>
        <v>0</v>
      </c>
      <c r="N23" s="6">
        <f t="shared" si="0"/>
        <v>0</v>
      </c>
      <c r="O23" s="6">
        <f t="shared" si="0"/>
        <v>0</v>
      </c>
      <c r="P23" s="6">
        <f t="shared" si="0"/>
        <v>0</v>
      </c>
      <c r="Q23" s="6">
        <f t="shared" si="0"/>
        <v>0</v>
      </c>
      <c r="R23" s="6">
        <f t="shared" si="0"/>
        <v>0</v>
      </c>
      <c r="S23" s="6">
        <f t="shared" si="0"/>
        <v>0</v>
      </c>
    </row>
    <row r="24" spans="1:19" x14ac:dyDescent="0.25">
      <c r="A24" s="6" t="s">
        <v>12</v>
      </c>
      <c r="B24" s="6">
        <f t="shared" ref="B24:S24" si="1">B8-B16</f>
        <v>0</v>
      </c>
      <c r="C24" s="6">
        <f t="shared" si="1"/>
        <v>0</v>
      </c>
      <c r="D24" s="6">
        <f t="shared" si="1"/>
        <v>0</v>
      </c>
      <c r="E24" s="6">
        <f t="shared" si="1"/>
        <v>0</v>
      </c>
      <c r="F24" s="6">
        <f t="shared" si="1"/>
        <v>0</v>
      </c>
      <c r="G24" s="6">
        <f t="shared" si="1"/>
        <v>0</v>
      </c>
      <c r="H24" s="6">
        <f t="shared" si="1"/>
        <v>0</v>
      </c>
      <c r="I24" s="6">
        <f t="shared" si="1"/>
        <v>0</v>
      </c>
      <c r="J24" s="6">
        <f t="shared" si="1"/>
        <v>0</v>
      </c>
      <c r="K24" s="6">
        <f t="shared" si="1"/>
        <v>0</v>
      </c>
      <c r="L24" s="6">
        <f t="shared" si="1"/>
        <v>0</v>
      </c>
      <c r="M24" s="6">
        <f t="shared" si="1"/>
        <v>0</v>
      </c>
      <c r="N24" s="6">
        <f t="shared" si="1"/>
        <v>0</v>
      </c>
      <c r="O24" s="6">
        <f t="shared" si="1"/>
        <v>0</v>
      </c>
      <c r="P24" s="6">
        <f t="shared" si="1"/>
        <v>0</v>
      </c>
      <c r="Q24" s="6">
        <f t="shared" si="1"/>
        <v>0</v>
      </c>
      <c r="R24" s="6">
        <f t="shared" si="1"/>
        <v>0</v>
      </c>
      <c r="S24" s="6">
        <f t="shared" si="1"/>
        <v>0</v>
      </c>
    </row>
    <row r="25" spans="1:19" x14ac:dyDescent="0.25">
      <c r="A25" s="6" t="s">
        <v>13</v>
      </c>
      <c r="B25" s="6">
        <f t="shared" ref="B25:S25" si="2">B9-B17</f>
        <v>0</v>
      </c>
      <c r="C25" s="6">
        <f t="shared" si="2"/>
        <v>0</v>
      </c>
      <c r="D25" s="6">
        <f t="shared" si="2"/>
        <v>0</v>
      </c>
      <c r="E25" s="6">
        <f t="shared" si="2"/>
        <v>0</v>
      </c>
      <c r="F25" s="6">
        <f t="shared" si="2"/>
        <v>0</v>
      </c>
      <c r="G25" s="6">
        <f t="shared" si="2"/>
        <v>0</v>
      </c>
      <c r="H25" s="6">
        <f t="shared" si="2"/>
        <v>0</v>
      </c>
      <c r="I25" s="6">
        <f t="shared" si="2"/>
        <v>0</v>
      </c>
      <c r="J25" s="6">
        <f t="shared" si="2"/>
        <v>0</v>
      </c>
      <c r="K25" s="6">
        <f t="shared" si="2"/>
        <v>0</v>
      </c>
      <c r="L25" s="6">
        <f t="shared" si="2"/>
        <v>0</v>
      </c>
      <c r="M25" s="6">
        <f t="shared" si="2"/>
        <v>0</v>
      </c>
      <c r="N25" s="6">
        <f t="shared" si="2"/>
        <v>0</v>
      </c>
      <c r="O25" s="6">
        <f t="shared" si="2"/>
        <v>0</v>
      </c>
      <c r="P25" s="6">
        <f t="shared" si="2"/>
        <v>0</v>
      </c>
      <c r="Q25" s="6">
        <f t="shared" si="2"/>
        <v>0</v>
      </c>
      <c r="R25" s="6">
        <f t="shared" si="2"/>
        <v>0</v>
      </c>
      <c r="S25" s="6">
        <f t="shared" si="2"/>
        <v>0</v>
      </c>
    </row>
    <row r="26" spans="1:19" x14ac:dyDescent="0.25">
      <c r="A26" s="6" t="s">
        <v>14</v>
      </c>
      <c r="B26" s="6">
        <f t="shared" ref="B26:S26" si="3">B10-B18</f>
        <v>0</v>
      </c>
      <c r="C26" s="6">
        <f t="shared" si="3"/>
        <v>0</v>
      </c>
      <c r="D26" s="6">
        <f t="shared" si="3"/>
        <v>0</v>
      </c>
      <c r="E26" s="6">
        <f t="shared" si="3"/>
        <v>0</v>
      </c>
      <c r="F26" s="6">
        <f t="shared" si="3"/>
        <v>0</v>
      </c>
      <c r="G26" s="6">
        <f t="shared" si="3"/>
        <v>0</v>
      </c>
      <c r="H26" s="6">
        <f t="shared" si="3"/>
        <v>0</v>
      </c>
      <c r="I26" s="6">
        <f t="shared" si="3"/>
        <v>0</v>
      </c>
      <c r="J26" s="6">
        <f t="shared" si="3"/>
        <v>0</v>
      </c>
      <c r="K26" s="6">
        <f t="shared" si="3"/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 t="shared" si="3"/>
        <v>0</v>
      </c>
      <c r="R26" s="6">
        <f t="shared" si="3"/>
        <v>0</v>
      </c>
      <c r="S26" s="6">
        <f t="shared" si="3"/>
        <v>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ex3_part2_tabulated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Bathgate</dc:creator>
  <cp:lastModifiedBy>Austin Bathgate</cp:lastModifiedBy>
  <dcterms:created xsi:type="dcterms:W3CDTF">2026-03-03T00:08:06Z</dcterms:created>
  <dcterms:modified xsi:type="dcterms:W3CDTF">2026-03-03T00:14:45Z</dcterms:modified>
</cp:coreProperties>
</file>